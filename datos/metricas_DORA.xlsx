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" sheetId="1" state="visible" r:id="rId3"/>
    <sheet name="DORA" sheetId="2" state="visible" r:id="rId4"/>
    <sheet name="Metricas_por_enfoqu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<sst xmlns="http://schemas.openxmlformats.org/spreadsheetml/2006/main" count="72" uniqueCount="51">
  <si>
    <t xml:space="preserve">id</t>
  </si>
  <si>
    <t xml:space="preserve">fecha_commit</t>
  </si>
  <si>
    <t xml:space="preserve">fecha_despliegue</t>
  </si>
  <si>
    <t xml:space="preserve">exitoso</t>
  </si>
  <si>
    <t xml:space="preserve">horas_recuperacion</t>
  </si>
  <si>
    <t xml:space="preserve">lead_time_h</t>
  </si>
  <si>
    <t xml:space="preserve">dia_semana (1=lun..7=dom)</t>
  </si>
  <si>
    <t xml:space="preserve">es_viernes</t>
  </si>
  <si>
    <t xml:space="preserve">Fuente: datos/despliegues.csv entregado por el docente (azul = dato de entrada; negro = fórmula).</t>
  </si>
  <si>
    <t xml:space="preserve">si</t>
  </si>
  <si>
    <t xml:space="preserve">no</t>
  </si>
  <si>
    <t xml:space="preserve">Métricas DORA (28 días)</t>
  </si>
  <si>
    <t xml:space="preserve">Días del periodo</t>
  </si>
  <si>
    <t xml:space="preserve">Supuesto: el enunciado indica 28 días de datos.</t>
  </si>
  <si>
    <t xml:space="preserve">Métrica</t>
  </si>
  <si>
    <t xml:space="preserve">Valor</t>
  </si>
  <si>
    <t xml:space="preserve">Nota</t>
  </si>
  <si>
    <t xml:space="preserve">Total de despliegues</t>
  </si>
  <si>
    <t xml:space="preserve">Frecuencia de despliegue (por día)</t>
  </si>
  <si>
    <t xml:space="preserve">despliegues / días</t>
  </si>
  <si>
    <t xml:space="preserve">Frecuencia de despliegue (por semana)</t>
  </si>
  <si>
    <t xml:space="preserve">Lead time de cambios (mediana, h)</t>
  </si>
  <si>
    <t xml:space="preserve">commit → producción</t>
  </si>
  <si>
    <t xml:space="preserve">Despliegues fallidos</t>
  </si>
  <si>
    <t xml:space="preserve">Tasa de fallo de cambios</t>
  </si>
  <si>
    <t xml:space="preserve">fallidos / total</t>
  </si>
  <si>
    <t xml:space="preserve">Tiempo medio de recuperación (h)</t>
  </si>
  <si>
    <t xml:space="preserve">solo despliegues fallidos</t>
  </si>
  <si>
    <t xml:space="preserve">Análisis del viernes</t>
  </si>
  <si>
    <t xml:space="preserve">Concepto</t>
  </si>
  <si>
    <t xml:space="preserve">Despliegues en viernes</t>
  </si>
  <si>
    <t xml:space="preserve">Fallos en viernes</t>
  </si>
  <si>
    <t xml:space="preserve">Tasa de fallo en viernes</t>
  </si>
  <si>
    <t xml:space="preserve">Despliegues otros días</t>
  </si>
  <si>
    <t xml:space="preserve">Fallos otros días</t>
  </si>
  <si>
    <t xml:space="preserve">Tasa de fallo otros días</t>
  </si>
  <si>
    <t xml:space="preserve">Observación: el despliegue #20 tiene fecha 2026-09-30, posterior al último día del periodo; se incluyó tal como lo entregó el docente.</t>
  </si>
  <si>
    <t xml:space="preserve">Enfoque</t>
  </si>
  <si>
    <t xml:space="preserve">Atributo ISO/IEC 25010:2023 que respalda</t>
  </si>
  <si>
    <t xml:space="preserve">Scrum</t>
  </si>
  <si>
    <t xml:space="preserve">% de historias terminadas que cumplen la DoD al cierre del sprint</t>
  </si>
  <si>
    <t xml:space="preserve">Adecuación funcional (Corrección funcional)</t>
  </si>
  <si>
    <t xml:space="preserve">Kanban</t>
  </si>
  <si>
    <t xml:space="preserve">Tiempo de ciclo (En desarrollo → Hecho) y cumplimiento de límites WIP</t>
  </si>
  <si>
    <t xml:space="preserve">Mantenibilidad (Modificabilidad)</t>
  </si>
  <si>
    <t xml:space="preserve">XP</t>
  </si>
  <si>
    <t xml:space="preserve">Cobertura de pruebas unitarias (meta ≥ 80 %)</t>
  </si>
  <si>
    <t xml:space="preserve">Mantenibilidad (Capacidad de ser probado)</t>
  </si>
  <si>
    <t xml:space="preserve">DevOps</t>
  </si>
  <si>
    <t xml:space="preserve">Tasa de fallo de cambios (meta: bajar del 20 % actual)</t>
  </si>
  <si>
    <t xml:space="preserve">Fiabilidad (Ausencia de fallos, Recuperabilidad)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</si>
</sst>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\ hh:mm"/>
    <numFmt numFmtId="166" formatCode="0.0"/>
    <numFmt numFmtId="167" formatCode="General"/>
    <numFmt numFmtId="168" formatCode="0"/>
    <numFmt numFmtId="169" formatCode="0.00"/>
    <numFmt numFmtId="170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i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8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1"/>
  </cols>
  <sheetData>
    <row r="1" customFormat="false" ht="4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 t="s">
        <v>8</v>
      </c>
    </row>
    <row r="2" customFormat="false" ht="15" hidden="false" customHeight="false" outlineLevel="0" collapsed="false">
      <c r="A2" s="3" t="n">
        <v>1</v>
      </c>
      <c r="B2" s="4" t="n">
        <v>46265.9951388889</v>
      </c>
      <c r="C2" s="4" t="n">
        <v>46266.5784722222</v>
      </c>
      <c r="D2" s="3" t="s">
        <v>9</v>
      </c>
      <c r="E2" s="3" t="n">
        <v>0</v>
      </c>
      <c r="F2" s="5" t="n">
        <f aca="false">(C2-B2)*24</f>
        <v>14</v>
      </c>
      <c r="G2" s="6" t="n">
        <f aca="false">WEEKDAY(C2,2)</f>
        <v>2</v>
      </c>
      <c r="H2" s="6" t="str">
        <f aca="false">IF(G2=5,"si","no")</f>
        <v>no</v>
      </c>
    </row>
    <row r="3" customFormat="false" ht="15" hidden="false" customHeight="false" outlineLevel="0" collapsed="false">
      <c r="A3" s="3" t="n">
        <v>2</v>
      </c>
      <c r="B3" s="4" t="n">
        <v>46267.8638888889</v>
      </c>
      <c r="C3" s="4" t="n">
        <v>46268.1138888889</v>
      </c>
      <c r="D3" s="3" t="s">
        <v>9</v>
      </c>
      <c r="E3" s="3" t="n">
        <v>0</v>
      </c>
      <c r="F3" s="5" t="n">
        <f aca="false">(C3-B3)*24</f>
        <v>6</v>
      </c>
      <c r="G3" s="6" t="n">
        <f aca="false">WEEKDAY(C3,2)</f>
        <v>4</v>
      </c>
      <c r="H3" s="6" t="str">
        <f aca="false">IF(G3=5,"si","no")</f>
        <v>no</v>
      </c>
    </row>
    <row r="4" customFormat="false" ht="15" hidden="false" customHeight="false" outlineLevel="0" collapsed="false">
      <c r="A4" s="3" t="n">
        <v>3</v>
      </c>
      <c r="B4" s="4" t="n">
        <v>46269.0361111111</v>
      </c>
      <c r="C4" s="4" t="n">
        <v>46269.4527777778</v>
      </c>
      <c r="D4" s="3" t="s">
        <v>10</v>
      </c>
      <c r="E4" s="3" t="n">
        <v>5</v>
      </c>
      <c r="F4" s="5" t="n">
        <f aca="false">(C4-B4)*24</f>
        <v>10</v>
      </c>
      <c r="G4" s="6" t="n">
        <f aca="false">WEEKDAY(C4,2)</f>
        <v>5</v>
      </c>
      <c r="H4" s="6" t="str">
        <f aca="false">IF(G4=5,"si","no")</f>
        <v>si</v>
      </c>
    </row>
    <row r="5" customFormat="false" ht="15" hidden="false" customHeight="false" outlineLevel="0" collapsed="false">
      <c r="A5" s="3" t="n">
        <v>4</v>
      </c>
      <c r="B5" s="4" t="n">
        <v>46270.3743055556</v>
      </c>
      <c r="C5" s="4" t="n">
        <v>46271.2076388889</v>
      </c>
      <c r="D5" s="3" t="s">
        <v>9</v>
      </c>
      <c r="E5" s="3" t="n">
        <v>0</v>
      </c>
      <c r="F5" s="5" t="n">
        <f aca="false">(C5-B5)*24</f>
        <v>20</v>
      </c>
      <c r="G5" s="6" t="n">
        <f aca="false">WEEKDAY(C5,2)</f>
        <v>7</v>
      </c>
      <c r="H5" s="6" t="str">
        <f aca="false">IF(G5=5,"si","no")</f>
        <v>no</v>
      </c>
    </row>
    <row r="6" customFormat="false" ht="15" hidden="false" customHeight="false" outlineLevel="0" collapsed="false">
      <c r="A6" s="3" t="n">
        <v>5</v>
      </c>
      <c r="B6" s="4" t="n">
        <v>46270.4347222222</v>
      </c>
      <c r="C6" s="4" t="n">
        <v>46272.4347222222</v>
      </c>
      <c r="D6" s="3" t="s">
        <v>9</v>
      </c>
      <c r="E6" s="3" t="n">
        <v>0</v>
      </c>
      <c r="F6" s="5" t="n">
        <f aca="false">(C6-B6)*24</f>
        <v>48</v>
      </c>
      <c r="G6" s="6" t="n">
        <f aca="false">WEEKDAY(C6,2)</f>
        <v>1</v>
      </c>
      <c r="H6" s="6" t="str">
        <f aca="false">IF(G6=5,"si","no")</f>
        <v>no</v>
      </c>
    </row>
    <row r="7" customFormat="false" ht="15" hidden="false" customHeight="false" outlineLevel="0" collapsed="false">
      <c r="A7" s="3" t="n">
        <v>6</v>
      </c>
      <c r="B7" s="4" t="n">
        <v>46273.2923611111</v>
      </c>
      <c r="C7" s="4" t="n">
        <v>46274.1256944445</v>
      </c>
      <c r="D7" s="3" t="s">
        <v>9</v>
      </c>
      <c r="E7" s="3" t="n">
        <v>0</v>
      </c>
      <c r="F7" s="5" t="n">
        <f aca="false">(C7-B7)*24</f>
        <v>20</v>
      </c>
      <c r="G7" s="6" t="n">
        <f aca="false">WEEKDAY(C7,2)</f>
        <v>3</v>
      </c>
      <c r="H7" s="6" t="str">
        <f aca="false">IF(G7=5,"si","no")</f>
        <v>no</v>
      </c>
    </row>
    <row r="8" customFormat="false" ht="15" hidden="false" customHeight="false" outlineLevel="0" collapsed="false">
      <c r="A8" s="3" t="n">
        <v>7</v>
      </c>
      <c r="B8" s="4" t="n">
        <v>46273.4618055556</v>
      </c>
      <c r="C8" s="4" t="n">
        <v>46275.4618055556</v>
      </c>
      <c r="D8" s="3" t="s">
        <v>9</v>
      </c>
      <c r="E8" s="3" t="n">
        <v>0</v>
      </c>
      <c r="F8" s="5" t="n">
        <f aca="false">(C8-B8)*24</f>
        <v>48</v>
      </c>
      <c r="G8" s="6" t="n">
        <f aca="false">WEEKDAY(C8,2)</f>
        <v>4</v>
      </c>
      <c r="H8" s="6" t="str">
        <f aca="false">IF(G8=5,"si","no")</f>
        <v>no</v>
      </c>
    </row>
    <row r="9" customFormat="false" ht="15" hidden="false" customHeight="false" outlineLevel="0" collapsed="false">
      <c r="A9" s="3" t="n">
        <v>8</v>
      </c>
      <c r="B9" s="4" t="n">
        <v>46276.5291666667</v>
      </c>
      <c r="C9" s="4" t="n">
        <v>46276.9458333333</v>
      </c>
      <c r="D9" s="3" t="s">
        <v>10</v>
      </c>
      <c r="E9" s="3" t="n">
        <v>3</v>
      </c>
      <c r="F9" s="5" t="n">
        <f aca="false">(C9-B9)*24</f>
        <v>10</v>
      </c>
      <c r="G9" s="6" t="n">
        <f aca="false">WEEKDAY(C9,2)</f>
        <v>5</v>
      </c>
      <c r="H9" s="6" t="str">
        <f aca="false">IF(G9=5,"si","no")</f>
        <v>si</v>
      </c>
    </row>
    <row r="10" customFormat="false" ht="15" hidden="false" customHeight="false" outlineLevel="0" collapsed="false">
      <c r="A10" s="3" t="n">
        <v>9</v>
      </c>
      <c r="B10" s="4" t="n">
        <v>46278.4819444444</v>
      </c>
      <c r="C10" s="4" t="n">
        <v>46278.7319444444</v>
      </c>
      <c r="D10" s="3" t="s">
        <v>9</v>
      </c>
      <c r="E10" s="3" t="n">
        <v>0</v>
      </c>
      <c r="F10" s="5" t="n">
        <f aca="false">(C10-B10)*24</f>
        <v>6</v>
      </c>
      <c r="G10" s="6" t="n">
        <f aca="false">WEEKDAY(C10,2)</f>
        <v>7</v>
      </c>
      <c r="H10" s="6" t="str">
        <f aca="false">IF(G10=5,"si","no")</f>
        <v>no</v>
      </c>
    </row>
    <row r="11" customFormat="false" ht="15" hidden="false" customHeight="false" outlineLevel="0" collapsed="false">
      <c r="A11" s="3" t="n">
        <v>10</v>
      </c>
      <c r="B11" s="4" t="n">
        <v>46278.2048611111</v>
      </c>
      <c r="C11" s="4" t="n">
        <v>46280.2048611111</v>
      </c>
      <c r="D11" s="3" t="s">
        <v>9</v>
      </c>
      <c r="E11" s="3" t="n">
        <v>0</v>
      </c>
      <c r="F11" s="5" t="n">
        <f aca="false">(C11-B11)*24</f>
        <v>48</v>
      </c>
      <c r="G11" s="6" t="n">
        <f aca="false">WEEKDAY(C11,2)</f>
        <v>2</v>
      </c>
      <c r="H11" s="6" t="str">
        <f aca="false">IF(G11=5,"si","no")</f>
        <v>no</v>
      </c>
    </row>
    <row r="12" customFormat="false" ht="15" hidden="false" customHeight="false" outlineLevel="0" collapsed="false">
      <c r="A12" s="3" t="n">
        <v>11</v>
      </c>
      <c r="B12" s="4" t="n">
        <v>46280.6076388889</v>
      </c>
      <c r="C12" s="4" t="n">
        <v>46281.4409722222</v>
      </c>
      <c r="D12" s="3" t="s">
        <v>9</v>
      </c>
      <c r="E12" s="3" t="n">
        <v>0</v>
      </c>
      <c r="F12" s="5" t="n">
        <f aca="false">(C12-B12)*24</f>
        <v>20</v>
      </c>
      <c r="G12" s="6" t="n">
        <f aca="false">WEEKDAY(C12,2)</f>
        <v>3</v>
      </c>
      <c r="H12" s="6" t="str">
        <f aca="false">IF(G12=5,"si","no")</f>
        <v>no</v>
      </c>
    </row>
    <row r="13" customFormat="false" ht="15" hidden="false" customHeight="false" outlineLevel="0" collapsed="false">
      <c r="A13" s="3" t="n">
        <v>12</v>
      </c>
      <c r="B13" s="4" t="n">
        <v>46282.35625</v>
      </c>
      <c r="C13" s="4" t="n">
        <v>46282.9395833333</v>
      </c>
      <c r="D13" s="3" t="s">
        <v>9</v>
      </c>
      <c r="E13" s="3" t="n">
        <v>0</v>
      </c>
      <c r="F13" s="5" t="n">
        <f aca="false">(C13-B13)*24</f>
        <v>14</v>
      </c>
      <c r="G13" s="6" t="n">
        <f aca="false">WEEKDAY(C13,2)</f>
        <v>4</v>
      </c>
      <c r="H13" s="6" t="str">
        <f aca="false">IF(G13=5,"si","no")</f>
        <v>no</v>
      </c>
    </row>
    <row r="14" customFormat="false" ht="15" hidden="false" customHeight="false" outlineLevel="0" collapsed="false">
      <c r="A14" s="3" t="n">
        <v>13</v>
      </c>
      <c r="B14" s="4" t="n">
        <v>46283.9777777778</v>
      </c>
      <c r="C14" s="4" t="n">
        <v>46284.5611111111</v>
      </c>
      <c r="D14" s="3" t="s">
        <v>10</v>
      </c>
      <c r="E14" s="3" t="n">
        <v>2</v>
      </c>
      <c r="F14" s="5" t="n">
        <f aca="false">(C14-B14)*24</f>
        <v>14</v>
      </c>
      <c r="G14" s="6" t="n">
        <f aca="false">WEEKDAY(C14,2)</f>
        <v>6</v>
      </c>
      <c r="H14" s="6" t="str">
        <f aca="false">IF(G14=5,"si","no")</f>
        <v>no</v>
      </c>
    </row>
    <row r="15" customFormat="false" ht="15" hidden="false" customHeight="false" outlineLevel="0" collapsed="false">
      <c r="A15" s="3" t="n">
        <v>14</v>
      </c>
      <c r="B15" s="4" t="n">
        <v>46285.61875</v>
      </c>
      <c r="C15" s="4" t="n">
        <v>46286.2020833333</v>
      </c>
      <c r="D15" s="3" t="s">
        <v>9</v>
      </c>
      <c r="E15" s="3" t="n">
        <v>0</v>
      </c>
      <c r="F15" s="5" t="n">
        <f aca="false">(C15-B15)*24</f>
        <v>14</v>
      </c>
      <c r="G15" s="6" t="n">
        <f aca="false">WEEKDAY(C15,2)</f>
        <v>1</v>
      </c>
      <c r="H15" s="6" t="str">
        <f aca="false">IF(G15=5,"si","no")</f>
        <v>no</v>
      </c>
    </row>
    <row r="16" customFormat="false" ht="15" hidden="false" customHeight="false" outlineLevel="0" collapsed="false">
      <c r="A16" s="3" t="n">
        <v>15</v>
      </c>
      <c r="B16" s="4" t="n">
        <v>46286.6347222222</v>
      </c>
      <c r="C16" s="4" t="n">
        <v>46287.4680555556</v>
      </c>
      <c r="D16" s="3" t="s">
        <v>9</v>
      </c>
      <c r="E16" s="3" t="n">
        <v>0</v>
      </c>
      <c r="F16" s="5" t="n">
        <f aca="false">(C16-B16)*24</f>
        <v>20</v>
      </c>
      <c r="G16" s="6" t="n">
        <f aca="false">WEEKDAY(C16,2)</f>
        <v>2</v>
      </c>
      <c r="H16" s="6" t="str">
        <f aca="false">IF(G16=5,"si","no")</f>
        <v>no</v>
      </c>
    </row>
    <row r="17" customFormat="false" ht="15" hidden="false" customHeight="false" outlineLevel="0" collapsed="false">
      <c r="A17" s="3" t="n">
        <v>16</v>
      </c>
      <c r="B17" s="4" t="n">
        <v>46288.6861111111</v>
      </c>
      <c r="C17" s="4" t="n">
        <v>46289.1027777778</v>
      </c>
      <c r="D17" s="3" t="s">
        <v>9</v>
      </c>
      <c r="E17" s="3" t="n">
        <v>0</v>
      </c>
      <c r="F17" s="5" t="n">
        <f aca="false">(C17-B17)*24</f>
        <v>10</v>
      </c>
      <c r="G17" s="6" t="n">
        <f aca="false">WEEKDAY(C17,2)</f>
        <v>4</v>
      </c>
      <c r="H17" s="6" t="str">
        <f aca="false">IF(G17=5,"si","no")</f>
        <v>no</v>
      </c>
    </row>
    <row r="18" customFormat="false" ht="15" hidden="false" customHeight="false" outlineLevel="0" collapsed="false">
      <c r="A18" s="3" t="n">
        <v>17</v>
      </c>
      <c r="B18" s="4" t="n">
        <v>46289.8652777778</v>
      </c>
      <c r="C18" s="4" t="n">
        <v>46290.6986111111</v>
      </c>
      <c r="D18" s="3" t="s">
        <v>10</v>
      </c>
      <c r="E18" s="3" t="n">
        <v>8</v>
      </c>
      <c r="F18" s="5" t="n">
        <f aca="false">(C18-B18)*24</f>
        <v>20</v>
      </c>
      <c r="G18" s="6" t="n">
        <f aca="false">WEEKDAY(C18,2)</f>
        <v>5</v>
      </c>
      <c r="H18" s="6" t="str">
        <f aca="false">IF(G18=5,"si","no")</f>
        <v>si</v>
      </c>
    </row>
    <row r="19" customFormat="false" ht="15" hidden="false" customHeight="false" outlineLevel="0" collapsed="false">
      <c r="A19" s="3" t="n">
        <v>18</v>
      </c>
      <c r="B19" s="4" t="n">
        <v>46290.25625</v>
      </c>
      <c r="C19" s="4" t="n">
        <v>46292.25625</v>
      </c>
      <c r="D19" s="3" t="s">
        <v>9</v>
      </c>
      <c r="E19" s="3" t="n">
        <v>0</v>
      </c>
      <c r="F19" s="5" t="n">
        <f aca="false">(C19-B19)*24</f>
        <v>48</v>
      </c>
      <c r="G19" s="6" t="n">
        <f aca="false">WEEKDAY(C19,2)</f>
        <v>7</v>
      </c>
      <c r="H19" s="6" t="str">
        <f aca="false">IF(G19=5,"si","no")</f>
        <v>no</v>
      </c>
    </row>
    <row r="20" customFormat="false" ht="15" hidden="false" customHeight="false" outlineLevel="0" collapsed="false">
      <c r="A20" s="3" t="n">
        <v>19</v>
      </c>
      <c r="B20" s="4" t="n">
        <v>46291.6381944444</v>
      </c>
      <c r="C20" s="4" t="n">
        <v>46293.8048611111</v>
      </c>
      <c r="D20" s="3" t="s">
        <v>9</v>
      </c>
      <c r="E20" s="3" t="n">
        <v>0</v>
      </c>
      <c r="F20" s="5" t="n">
        <f aca="false">(C20-B20)*24</f>
        <v>52</v>
      </c>
      <c r="G20" s="6" t="n">
        <f aca="false">WEEKDAY(C20,2)</f>
        <v>1</v>
      </c>
      <c r="H20" s="6" t="str">
        <f aca="false">IF(G20=5,"si","no")</f>
        <v>no</v>
      </c>
    </row>
    <row r="21" customFormat="false" ht="15" hidden="false" customHeight="false" outlineLevel="0" collapsed="false">
      <c r="A21" s="3" t="n">
        <v>20</v>
      </c>
      <c r="B21" s="4" t="n">
        <v>46293.0423611111</v>
      </c>
      <c r="C21" s="4" t="n">
        <v>46295.2090277778</v>
      </c>
      <c r="D21" s="3" t="s">
        <v>9</v>
      </c>
      <c r="E21" s="3" t="n">
        <v>0</v>
      </c>
      <c r="F21" s="5" t="n">
        <f aca="false">(C21-B21)*24</f>
        <v>52</v>
      </c>
      <c r="G21" s="6" t="n">
        <f aca="false">WEEKDAY(C21,2)</f>
        <v>3</v>
      </c>
      <c r="H21" s="6" t="str">
        <f aca="false">IF(G21=5,"si","no")</f>
        <v>no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  <col collapsed="false" customWidth="true" hidden="false" outlineLevel="0" max="3" min="3" style="0" width="48"/>
  </cols>
  <sheetData>
    <row r="1" customFormat="false" ht="17.35" hidden="false" customHeight="false" outlineLevel="0" collapsed="false">
      <c r="A1" s="7" t="s">
        <v>11</v>
      </c>
    </row>
    <row r="3" customFormat="false" ht="15" hidden="false" customHeight="false" outlineLevel="0" collapsed="false">
      <c r="A3" s="0" t="s">
        <v>12</v>
      </c>
      <c r="B3" s="8" t="n">
        <v>28</v>
      </c>
      <c r="C3" s="9" t="s">
        <v>13</v>
      </c>
    </row>
    <row r="4" customFormat="false" ht="15" hidden="false" customHeight="false" outlineLevel="0" collapsed="false">
      <c r="A4" s="10" t="s">
        <v>14</v>
      </c>
      <c r="B4" s="10" t="s">
        <v>15</v>
      </c>
      <c r="C4" s="10" t="s">
        <v>16</v>
      </c>
    </row>
    <row r="5" customFormat="false" ht="15" hidden="false" customHeight="false" outlineLevel="0" collapsed="false">
      <c r="A5" s="6" t="s">
        <v>17</v>
      </c>
      <c r="B5" s="11" t="n">
        <f aca="false">COUNT(Datos!$A$2:$A$21)</f>
        <v>20</v>
      </c>
      <c r="C5" s="6"/>
    </row>
    <row r="6" customFormat="false" ht="15" hidden="false" customHeight="false" outlineLevel="0" collapsed="false">
      <c r="A6" s="12" t="s">
        <v>18</v>
      </c>
      <c r="B6" s="13" t="n">
        <f aca="false">B5/B3</f>
        <v>0.714285714285714</v>
      </c>
      <c r="C6" s="6" t="s">
        <v>19</v>
      </c>
    </row>
    <row r="7" customFormat="false" ht="15" hidden="false" customHeight="false" outlineLevel="0" collapsed="false">
      <c r="A7" s="6" t="s">
        <v>20</v>
      </c>
      <c r="B7" s="5" t="n">
        <f aca="false">B5/B3*7</f>
        <v>5</v>
      </c>
      <c r="C7" s="6"/>
    </row>
    <row r="8" customFormat="false" ht="15" hidden="false" customHeight="false" outlineLevel="0" collapsed="false">
      <c r="A8" s="12" t="s">
        <v>21</v>
      </c>
      <c r="B8" s="14" t="n">
        <f aca="false">MEDIAN(Datos!$F$2:$F$21)</f>
        <v>20</v>
      </c>
      <c r="C8" s="6" t="s">
        <v>22</v>
      </c>
    </row>
    <row r="9" customFormat="false" ht="15" hidden="false" customHeight="false" outlineLevel="0" collapsed="false">
      <c r="A9" s="6" t="s">
        <v>23</v>
      </c>
      <c r="B9" s="11" t="n">
        <f aca="false">COUNTIF(Datos!$D$2:$D$21,"no")</f>
        <v>4</v>
      </c>
      <c r="C9" s="6"/>
    </row>
    <row r="10" customFormat="false" ht="15" hidden="false" customHeight="false" outlineLevel="0" collapsed="false">
      <c r="A10" s="12" t="s">
        <v>24</v>
      </c>
      <c r="B10" s="15" t="n">
        <f aca="false">B9/B5</f>
        <v>0.2</v>
      </c>
      <c r="C10" s="6" t="s">
        <v>25</v>
      </c>
    </row>
    <row r="11" customFormat="false" ht="15" hidden="false" customHeight="false" outlineLevel="0" collapsed="false">
      <c r="A11" s="12" t="s">
        <v>26</v>
      </c>
      <c r="B11" s="14" t="n">
        <f aca="false">AVERAGEIF(Datos!$D$2:$D$21,"no",Datos!$E$2:$E$21)</f>
        <v>4.5</v>
      </c>
      <c r="C11" s="6" t="s">
        <v>27</v>
      </c>
    </row>
    <row r="14" customFormat="false" ht="15" hidden="false" customHeight="false" outlineLevel="0" collapsed="false">
      <c r="A14" s="16" t="s">
        <v>28</v>
      </c>
    </row>
    <row r="15" customFormat="false" ht="15" hidden="false" customHeight="false" outlineLevel="0" collapsed="false">
      <c r="A15" s="10" t="s">
        <v>29</v>
      </c>
      <c r="B15" s="10" t="s">
        <v>15</v>
      </c>
      <c r="C15" s="10" t="s">
        <v>16</v>
      </c>
    </row>
    <row r="16" customFormat="false" ht="15" hidden="false" customHeight="false" outlineLevel="0" collapsed="false">
      <c r="A16" s="6" t="s">
        <v>30</v>
      </c>
      <c r="B16" s="11" t="n">
        <f aca="false">COUNTIF(Datos!$H$2:$H$21,"si")</f>
        <v>3</v>
      </c>
      <c r="C16" s="6"/>
    </row>
    <row r="17" customFormat="false" ht="15" hidden="false" customHeight="false" outlineLevel="0" collapsed="false">
      <c r="A17" s="6" t="s">
        <v>31</v>
      </c>
      <c r="B17" s="11" t="n">
        <f aca="false">COUNTIFS(Datos!$H$2:$H$21,"si",Datos!$D$2:$D$21,"no")</f>
        <v>3</v>
      </c>
      <c r="C17" s="6"/>
    </row>
    <row r="18" customFormat="false" ht="15" hidden="false" customHeight="false" outlineLevel="0" collapsed="false">
      <c r="A18" s="6" t="s">
        <v>32</v>
      </c>
      <c r="B18" s="17" t="n">
        <f aca="false">IF(B16=0,0,B17/B16)</f>
        <v>1</v>
      </c>
      <c r="C18" s="6"/>
    </row>
    <row r="19" customFormat="false" ht="15" hidden="false" customHeight="false" outlineLevel="0" collapsed="false">
      <c r="A19" s="6" t="s">
        <v>33</v>
      </c>
      <c r="B19" s="11" t="n">
        <f aca="false">B5-B16</f>
        <v>17</v>
      </c>
      <c r="C19" s="6"/>
    </row>
    <row r="20" customFormat="false" ht="15" hidden="false" customHeight="false" outlineLevel="0" collapsed="false">
      <c r="A20" s="6" t="s">
        <v>34</v>
      </c>
      <c r="B20" s="11" t="n">
        <f aca="false">B9-B17</f>
        <v>1</v>
      </c>
      <c r="C20" s="6"/>
    </row>
    <row r="21" customFormat="false" ht="15" hidden="false" customHeight="false" outlineLevel="0" collapsed="false">
      <c r="A21" s="6" t="s">
        <v>35</v>
      </c>
      <c r="B21" s="17" t="n">
        <f aca="false">IF(B19=0,0,B20/B19)</f>
        <v>0.0588235294117647</v>
      </c>
      <c r="C21" s="6"/>
    </row>
    <row r="23" customFormat="false" ht="15" hidden="false" customHeight="false" outlineLevel="0" collapsed="false">
      <c r="A23" s="2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2"/>
    <col collapsed="false" customWidth="true" hidden="false" outlineLevel="0" max="3" min="3" style="0" width="46"/>
  </cols>
  <sheetData>
    <row r="1" customFormat="false" ht="15" hidden="false" customHeight="false" outlineLevel="0" collapsed="false">
      <c r="A1" s="10" t="s">
        <v>37</v>
      </c>
      <c r="B1" s="10" t="s">
        <v>14</v>
      </c>
      <c r="C1" s="10" t="s">
        <v>38</v>
      </c>
    </row>
    <row r="2" customFormat="false" ht="15" hidden="false" customHeight="false" outlineLevel="0" collapsed="false">
      <c r="A2" s="18" t="s">
        <v>39</v>
      </c>
      <c r="B2" s="18" t="s">
        <v>40</v>
      </c>
      <c r="C2" s="18" t="s">
        <v>41</v>
      </c>
    </row>
    <row r="3" customFormat="false" ht="26.85" hidden="false" customHeight="false" outlineLevel="0" collapsed="false">
      <c r="A3" s="18" t="s">
        <v>42</v>
      </c>
      <c r="B3" s="18" t="s">
        <v>43</v>
      </c>
      <c r="C3" s="18" t="s">
        <v>44</v>
      </c>
    </row>
    <row r="4" customFormat="false" ht="15" hidden="false" customHeight="false" outlineLevel="0" collapsed="false">
      <c r="A4" s="18" t="s">
        <v>45</v>
      </c>
      <c r="B4" s="18" t="s">
        <v>46</v>
      </c>
      <c r="C4" s="18" t="s">
        <v>47</v>
      </c>
    </row>
    <row r="5" customFormat="false" ht="15" hidden="false" customHeight="false" outlineLevel="0" collapsed="false">
      <c r="A5" s="18" t="s">
        <v>48</v>
      </c>
      <c r="B5" s="18" t="s">
        <v>49</v>
      </c>
      <c r="C5" s="18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2026-09-28T14:51:51Z</dcterms:created>
  <dc:creator>openpyxl</dc:creator>
  <dc:description/>
  <dc:language>en-US</dc:language>
  <cp:lastModifiedBy/>
  <dcterms:modified xsi:type="dcterms:W3CDTF">2026-09-28T14:51:51Z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